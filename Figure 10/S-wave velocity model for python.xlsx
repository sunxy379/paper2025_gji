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ye/Downloads/"/>
    </mc:Choice>
  </mc:AlternateContent>
  <xr:revisionPtr revIDLastSave="0" documentId="13_ncr:1_{F4D8647D-40AA-8F4A-A799-3DEA858965D0}" xr6:coauthVersionLast="47" xr6:coauthVersionMax="47" xr10:uidLastSave="{00000000-0000-0000-0000-000000000000}"/>
  <bookViews>
    <workbookView xWindow="1160" yWindow="760" windowWidth="17160" windowHeight="18880" xr2:uid="{0F02599F-D69C-48D7-A394-A12761DD18F8}"/>
  </bookViews>
  <sheets>
    <sheet name="Sheet1" sheetId="1" r:id="rId1"/>
    <sheet name="joint rocks" sheetId="4" r:id="rId2"/>
    <sheet name="soils(calos)" sheetId="3" r:id="rId3"/>
    <sheet name="soils(cha)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I12" i="1"/>
  <c r="I11" i="1"/>
  <c r="B5" i="4"/>
  <c r="B4" i="4"/>
  <c r="B3" i="4"/>
  <c r="B2" i="4"/>
  <c r="A7" i="3"/>
  <c r="B7" i="3" s="1"/>
  <c r="A6" i="3"/>
  <c r="B6" i="3" s="1"/>
  <c r="A5" i="3"/>
  <c r="B5" i="3" s="1"/>
  <c r="B4" i="3"/>
  <c r="B3" i="3"/>
  <c r="B2" i="3"/>
  <c r="B8" i="2"/>
  <c r="A7" i="2"/>
  <c r="B7" i="2" s="1"/>
  <c r="A6" i="2"/>
  <c r="B6" i="2" s="1"/>
  <c r="A5" i="2"/>
  <c r="B5" i="2" s="1"/>
  <c r="B4" i="2"/>
  <c r="B3" i="2"/>
  <c r="B2" i="2"/>
  <c r="D9" i="1"/>
  <c r="D10" i="1"/>
  <c r="D12" i="1"/>
  <c r="D13" i="1"/>
  <c r="D8" i="1"/>
  <c r="I13" i="1"/>
  <c r="E9" i="1"/>
  <c r="E10" i="1"/>
  <c r="E12" i="1"/>
  <c r="E8" i="1"/>
  <c r="C13" i="1"/>
  <c r="E13" i="1" s="1"/>
  <c r="C12" i="1"/>
  <c r="C11" i="1"/>
  <c r="D11" i="1" l="1"/>
  <c r="I14" i="1"/>
  <c r="E11" i="1"/>
</calcChain>
</file>

<file path=xl/sharedStrings.xml><?xml version="1.0" encoding="utf-8"?>
<sst xmlns="http://schemas.openxmlformats.org/spreadsheetml/2006/main" count="11" uniqueCount="5">
  <si>
    <t>Theta</t>
  </si>
  <si>
    <t>beta</t>
  </si>
  <si>
    <t>soils</t>
  </si>
  <si>
    <t xml:space="preserve">beta </t>
  </si>
  <si>
    <t>jointed rocks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</si>
</sst>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5064752127142"/>
          <c:y val="4.8869788381924108E-2"/>
          <c:w val="0.82678405519562059"/>
          <c:h val="0.80376060744191269"/>
        </c:manualLayout>
      </c:layout>
      <c:scatterChart>
        <c:scatterStyle val="lineMarker"/>
        <c:varyColors val="0"/>
        <c:ser>
          <c:idx val="2"/>
          <c:order val="0"/>
          <c:tx>
            <c:v>Santamarina et al. (2001) for soils</c:v>
          </c:tx>
          <c:spPr>
            <a:ln>
              <a:solidFill>
                <a:srgbClr val="FF9999"/>
              </a:solidFill>
              <a:prstDash val="sysDot"/>
            </a:ln>
          </c:spPr>
          <c:marker>
            <c:symbol val="none"/>
          </c:marker>
          <c:xVal>
            <c:numRef>
              <c:f>Sheet1!$C$8:$C$14</c:f>
              <c:numCache>
                <c:formatCode>General</c:formatCode>
                <c:ptCount val="7"/>
                <c:pt idx="0">
                  <c:v>8</c:v>
                </c:pt>
                <c:pt idx="1">
                  <c:v>10</c:v>
                </c:pt>
                <c:pt idx="2">
                  <c:v>20</c:v>
                </c:pt>
                <c:pt idx="3">
                  <c:v>80</c:v>
                </c:pt>
                <c:pt idx="4">
                  <c:v>100</c:v>
                </c:pt>
                <c:pt idx="5">
                  <c:v>200</c:v>
                </c:pt>
                <c:pt idx="6">
                  <c:v>600</c:v>
                </c:pt>
              </c:numCache>
            </c:numRef>
          </c:xVal>
          <c:yVal>
            <c:numRef>
              <c:f>Sheet1!$D$8:$D$14</c:f>
              <c:numCache>
                <c:formatCode>General</c:formatCode>
                <c:ptCount val="7"/>
                <c:pt idx="0">
                  <c:v>0.34857142857142853</c:v>
                </c:pt>
                <c:pt idx="1">
                  <c:v>0.3457142857142857</c:v>
                </c:pt>
                <c:pt idx="2">
                  <c:v>0.33142857142857141</c:v>
                </c:pt>
                <c:pt idx="3">
                  <c:v>0.24571428571428572</c:v>
                </c:pt>
                <c:pt idx="4">
                  <c:v>0.21714285714285714</c:v>
                </c:pt>
                <c:pt idx="5">
                  <c:v>7.4285714285714288E-2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376-4532-81C5-6286F65EACC6}"/>
            </c:ext>
          </c:extLst>
        </c:ser>
        <c:ser>
          <c:idx val="0"/>
          <c:order val="1"/>
          <c:tx>
            <c:v>Cha et al. (2014) for soils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Sheet1!$C$8:$C$14</c:f>
              <c:numCache>
                <c:formatCode>General</c:formatCode>
                <c:ptCount val="7"/>
                <c:pt idx="0">
                  <c:v>8</c:v>
                </c:pt>
                <c:pt idx="1">
                  <c:v>10</c:v>
                </c:pt>
                <c:pt idx="2">
                  <c:v>20</c:v>
                </c:pt>
                <c:pt idx="3">
                  <c:v>80</c:v>
                </c:pt>
                <c:pt idx="4">
                  <c:v>100</c:v>
                </c:pt>
                <c:pt idx="5">
                  <c:v>200</c:v>
                </c:pt>
                <c:pt idx="6">
                  <c:v>600</c:v>
                </c:pt>
              </c:numCache>
            </c:numRef>
          </c:xVal>
          <c:yVal>
            <c:numRef>
              <c:f>Sheet1!$E$8:$E$14</c:f>
              <c:numCache>
                <c:formatCode>General</c:formatCode>
                <c:ptCount val="7"/>
                <c:pt idx="0">
                  <c:v>0.48616570351217525</c:v>
                </c:pt>
                <c:pt idx="1">
                  <c:v>0.45999999999999996</c:v>
                </c:pt>
                <c:pt idx="2">
                  <c:v>0.37872190117072502</c:v>
                </c:pt>
                <c:pt idx="3">
                  <c:v>0.21616570351217523</c:v>
                </c:pt>
                <c:pt idx="4">
                  <c:v>0.18999999999999995</c:v>
                </c:pt>
                <c:pt idx="5">
                  <c:v>0.108721901170725</c:v>
                </c:pt>
                <c:pt idx="6">
                  <c:v>-2.0100837603583832E-2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376-4532-81C5-6286F65EACC6}"/>
            </c:ext>
          </c:extLst>
        </c:ser>
        <c:ser>
          <c:idx val="3"/>
          <c:order val="2"/>
          <c:tx>
            <c:v>Cha et al. (2014) for jointed rocks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Sheet1!$C$8:$C$14</c:f>
              <c:numCache>
                <c:formatCode>General</c:formatCode>
                <c:ptCount val="7"/>
                <c:pt idx="0">
                  <c:v>8</c:v>
                </c:pt>
                <c:pt idx="1">
                  <c:v>10</c:v>
                </c:pt>
                <c:pt idx="2">
                  <c:v>20</c:v>
                </c:pt>
                <c:pt idx="3">
                  <c:v>80</c:v>
                </c:pt>
                <c:pt idx="4">
                  <c:v>100</c:v>
                </c:pt>
                <c:pt idx="5">
                  <c:v>200</c:v>
                </c:pt>
                <c:pt idx="6">
                  <c:v>600</c:v>
                </c:pt>
              </c:numCache>
            </c:numRef>
          </c:xVal>
          <c:yVal>
            <c:numRef>
              <c:f>Sheet1!$I$8:$I$14</c:f>
              <c:numCache>
                <c:formatCode>General</c:formatCode>
                <c:ptCount val="7"/>
                <c:pt idx="3">
                  <c:v>0.35004210403249747</c:v>
                </c:pt>
                <c:pt idx="4">
                  <c:v>0.31999999999999995</c:v>
                </c:pt>
                <c:pt idx="5">
                  <c:v>0.22668070134416574</c:v>
                </c:pt>
                <c:pt idx="6">
                  <c:v>7.8773112381070542E-2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376-4532-81C5-6286F65EACC6}"/>
            </c:ext>
          </c:extLst>
        </c:ser>
        <c:ser>
          <c:idx val="1"/>
          <c:order val="3"/>
          <c:spPr>
            <a:ln>
              <a:noFill/>
            </a:ln>
          </c:spPr>
          <c:marker>
            <c:symbol val="circle"/>
            <c:size val="7"/>
            <c:spPr>
              <a:noFill/>
              <a:ln w="19050">
                <a:solidFill>
                  <a:srgbClr val="FFC000"/>
                </a:solidFill>
              </a:ln>
            </c:spPr>
          </c:marker>
          <c:xVal>
            <c:numRef>
              <c:f>Sheet1!$H$19:$H$20</c:f>
              <c:numCache>
                <c:formatCode>General</c:formatCode>
                <c:ptCount val="2"/>
                <c:pt idx="0">
                  <c:v>55.17</c:v>
                </c:pt>
                <c:pt idx="1">
                  <c:v>52.53</c:v>
                </c:pt>
              </c:numCache>
            </c:numRef>
          </c:xVal>
          <c:yVal>
            <c:numRef>
              <c:f>Sheet1!$I$19:$I$20</c:f>
              <c:numCache>
                <c:formatCode>General</c:formatCode>
                <c:ptCount val="2"/>
                <c:pt idx="0">
                  <c:v>0.35</c:v>
                </c:pt>
                <c:pt idx="1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376-4532-81C5-6286F65EA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83487"/>
        <c:axId val="1324908255"/>
      </c:scatterChart>
      <c:valAx>
        <c:axId val="79783487"/>
        <c:scaling>
          <c:logBase val="10"/>
          <c:orientation val="minMax"/>
          <c:max val="80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sym typeface="Symbol" panose="05050102010706020507" pitchFamily="18" charset="2"/>
                  </a:rPr>
                  <a:t></a:t>
                </a:r>
                <a:r>
                  <a:rPr lang="en-US"/>
                  <a:t>-factor (m/s)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324908255"/>
        <c:crosses val="autoZero"/>
        <c:crossBetween val="midCat"/>
      </c:valAx>
      <c:valAx>
        <c:axId val="1324908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sym typeface="Symbol" panose="05050102010706020507" pitchFamily="18" charset="2"/>
                  </a:rPr>
                  <a:t></a:t>
                </a:r>
                <a:r>
                  <a:rPr lang="en-US"/>
                  <a:t>-exponent ( )</a:t>
                </a:r>
              </a:p>
            </c:rich>
          </c:tx>
          <c:layout>
            <c:manualLayout>
              <c:xMode val="edge"/>
              <c:yMode val="edge"/>
              <c:x val="6.1687885549284675E-3"/>
              <c:y val="0.28444366738059407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9783487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b"/>
      <c:layout>
        <c:manualLayout>
          <c:xMode val="edge"/>
          <c:yMode val="edge"/>
          <c:x val="0.40195532718142474"/>
          <c:y val="6.0764797342441633E-2"/>
          <c:w val="0.53734147846298053"/>
          <c:h val="0.17000443342678914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2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558800</xdr:colOff>
      <xdr:row>5</xdr:row>
      <xdr:rowOff>166370</xdr:rowOff>
    </xdr:from>
    <xdr:to>
      <xdr:col>18</xdr:col>
      <xdr:colOff>501650</xdr:colOff>
      <xdr:row>23</xdr:row>
      <xdr:rowOff>85090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D6F78-EA62-0739-D1B5-C30D3777C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520700</xdr:colOff>
      <xdr:row>12</xdr:row>
      <xdr:rowOff>107950</xdr:rowOff>
    </xdr:from>
    <xdr:ext cx="765787" cy="28020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DA41B91-2FF9-44F3-9A8F-2361E9AB218A}"/>
            </a:ext>
          </a:extLst>
        </xdr:cNvPr>
        <xdr:cNvSpPr txBox="1"/>
      </xdr:nvSpPr>
      <xdr:spPr>
        <a:xfrm>
          <a:off x="7226300" y="2317750"/>
          <a:ext cx="76578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/>
            <a:t>soft clays</a:t>
          </a:r>
        </a:p>
      </xdr:txBody>
    </xdr:sp>
    <xdr:clientData/>
  </xdr:oneCellAnchor>
  <xdr:oneCellAnchor>
    <xdr:from>
      <xdr:col>11</xdr:col>
      <xdr:colOff>527050</xdr:colOff>
      <xdr:row>14</xdr:row>
      <xdr:rowOff>25400</xdr:rowOff>
    </xdr:from>
    <xdr:ext cx="1517650" cy="280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CD19961-1ED8-4B82-991F-B607376705E3}"/>
            </a:ext>
          </a:extLst>
        </xdr:cNvPr>
        <xdr:cNvSpPr txBox="1"/>
      </xdr:nvSpPr>
      <xdr:spPr>
        <a:xfrm>
          <a:off x="7232650" y="2603500"/>
          <a:ext cx="151765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loose sands</a:t>
          </a:r>
        </a:p>
      </xdr:txBody>
    </xdr:sp>
    <xdr:clientData/>
  </xdr:oneCellAnchor>
  <xdr:oneCellAnchor>
    <xdr:from>
      <xdr:col>16</xdr:col>
      <xdr:colOff>100425</xdr:colOff>
      <xdr:row>14</xdr:row>
      <xdr:rowOff>144577</xdr:rowOff>
    </xdr:from>
    <xdr:ext cx="973728" cy="28020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A1E27E-5321-4C9F-9651-6EE419DA8006}"/>
            </a:ext>
          </a:extLst>
        </xdr:cNvPr>
        <xdr:cNvSpPr txBox="1"/>
      </xdr:nvSpPr>
      <xdr:spPr>
        <a:xfrm rot="2157143">
          <a:off x="9854025" y="2722677"/>
          <a:ext cx="97372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/>
            <a:t>jointed rocks</a:t>
          </a:r>
        </a:p>
      </xdr:txBody>
    </xdr:sp>
    <xdr:clientData/>
  </xdr:oneCellAnchor>
  <xdr:twoCellAnchor>
    <xdr:from>
      <xdr:col>11</xdr:col>
      <xdr:colOff>565150</xdr:colOff>
      <xdr:row>14</xdr:row>
      <xdr:rowOff>44450</xdr:rowOff>
    </xdr:from>
    <xdr:to>
      <xdr:col>15</xdr:col>
      <xdr:colOff>412750</xdr:colOff>
      <xdr:row>14</xdr:row>
      <xdr:rowOff>44450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7F203F9-2ABE-43EF-99A7-50F6ED74CF43}"/>
            </a:ext>
          </a:extLst>
        </xdr:cNvPr>
        <xdr:cNvCxnSpPr/>
      </xdr:nvCxnSpPr>
      <xdr:spPr>
        <a:xfrm rot="5400000" flipH="1" flipV="1">
          <a:off x="8413750" y="1479550"/>
          <a:ext cx="0" cy="228600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546100</xdr:colOff>
      <xdr:row>17</xdr:row>
      <xdr:rowOff>25400</xdr:rowOff>
    </xdr:from>
    <xdr:to>
      <xdr:col>16</xdr:col>
      <xdr:colOff>241300</xdr:colOff>
      <xdr:row>17</xdr:row>
      <xdr:rowOff>25400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4032C50-527A-4CB1-95CA-EB26D5B00EB5}"/>
            </a:ext>
          </a:extLst>
        </xdr:cNvPr>
        <xdr:cNvCxnSpPr/>
      </xdr:nvCxnSpPr>
      <xdr:spPr>
        <a:xfrm rot="5400000" flipH="1" flipV="1">
          <a:off x="8623300" y="1784350"/>
          <a:ext cx="0" cy="274320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533400</xdr:colOff>
      <xdr:row>15</xdr:row>
      <xdr:rowOff>158750</xdr:rowOff>
    </xdr:from>
    <xdr:ext cx="1517650" cy="280205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29B4B29-7999-4AEA-B10A-957BB12CFDF7}"/>
            </a:ext>
          </a:extLst>
        </xdr:cNvPr>
        <xdr:cNvSpPr txBox="1"/>
      </xdr:nvSpPr>
      <xdr:spPr>
        <a:xfrm>
          <a:off x="7239000" y="2921000"/>
          <a:ext cx="151765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dense sands</a:t>
          </a:r>
        </a:p>
      </xdr:txBody>
    </xdr:sp>
    <xdr:clientData/>
  </xdr:oneCellAnchor>
  <xdr:oneCellAnchor>
    <xdr:from>
      <xdr:col>11</xdr:col>
      <xdr:colOff>533400</xdr:colOff>
      <xdr:row>17</xdr:row>
      <xdr:rowOff>57150</xdr:rowOff>
    </xdr:from>
    <xdr:ext cx="1517650" cy="65594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D3DF4C3-EDE1-461A-BFCD-1F0351B01FC0}"/>
            </a:ext>
          </a:extLst>
        </xdr:cNvPr>
        <xdr:cNvSpPr txBox="1"/>
      </xdr:nvSpPr>
      <xdr:spPr>
        <a:xfrm>
          <a:off x="7239000" y="3187700"/>
          <a:ext cx="151765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stiff clays</a:t>
          </a:r>
        </a:p>
        <a:p>
          <a:endParaRPr lang="en-US" sz="1200"/>
        </a:p>
        <a:p>
          <a:r>
            <a:rPr lang="en-US" sz="1200"/>
            <a:t>cemeted soils</a:t>
          </a:r>
        </a:p>
      </xdr:txBody>
    </xdr:sp>
    <xdr:clientData/>
  </xdr:oneCellAnchor>
  <xdr:twoCellAnchor>
    <xdr:from>
      <xdr:col>15</xdr:col>
      <xdr:colOff>19050</xdr:colOff>
      <xdr:row>15</xdr:row>
      <xdr:rowOff>88900</xdr:rowOff>
    </xdr:from>
    <xdr:to>
      <xdr:col>16</xdr:col>
      <xdr:colOff>184150</xdr:colOff>
      <xdr:row>18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AD02BD8-32E9-CD1A-B27A-71BC1E4B339B}"/>
            </a:ext>
          </a:extLst>
        </xdr:cNvPr>
        <xdr:cNvCxnSpPr/>
      </xdr:nvCxnSpPr>
      <xdr:spPr>
        <a:xfrm>
          <a:off x="9163050" y="2851150"/>
          <a:ext cx="774700" cy="501650"/>
        </a:xfrm>
        <a:prstGeom prst="straightConnector1">
          <a:avLst/>
        </a:prstGeom>
        <a:ln>
          <a:solidFill>
            <a:schemeClr val="bg2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10</xdr:row>
      <xdr:rowOff>120650</xdr:rowOff>
    </xdr:from>
    <xdr:to>
      <xdr:col>14</xdr:col>
      <xdr:colOff>273050</xdr:colOff>
      <xdr:row>13</xdr:row>
      <xdr:rowOff>25400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78E7280C-BCFA-45AC-AAB1-C3F152BB6E29}"/>
            </a:ext>
          </a:extLst>
        </xdr:cNvPr>
        <xdr:cNvCxnSpPr/>
      </xdr:nvCxnSpPr>
      <xdr:spPr>
        <a:xfrm flipH="1" flipV="1">
          <a:off x="8153400" y="1962150"/>
          <a:ext cx="654050" cy="457200"/>
        </a:xfrm>
        <a:prstGeom prst="straightConnector1">
          <a:avLst/>
        </a:prstGeom>
        <a:ln>
          <a:solidFill>
            <a:schemeClr val="bg2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349250</xdr:colOff>
      <xdr:row>10</xdr:row>
      <xdr:rowOff>0</xdr:rowOff>
    </xdr:from>
    <xdr:ext cx="1162050" cy="43678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B04CFE5-32FE-4409-A0AD-6259130DA7D8}"/>
            </a:ext>
          </a:extLst>
        </xdr:cNvPr>
        <xdr:cNvSpPr txBox="1"/>
      </xdr:nvSpPr>
      <xdr:spPr>
        <a:xfrm>
          <a:off x="8274050" y="1841500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sz="1100"/>
            <a:t>decresing density</a:t>
          </a:r>
          <a:r>
            <a:rPr lang="en-US" sz="1100" baseline="0"/>
            <a:t> and plasticity</a:t>
          </a:r>
          <a:endParaRPr lang="en-US" sz="1100"/>
        </a:p>
      </xdr:txBody>
    </xdr:sp>
    <xdr:clientData/>
  </xdr:oneCellAnchor>
  <xdr:oneCellAnchor>
    <xdr:from>
      <xdr:col>14</xdr:col>
      <xdr:colOff>450850</xdr:colOff>
      <xdr:row>17</xdr:row>
      <xdr:rowOff>63500</xdr:rowOff>
    </xdr:from>
    <xdr:ext cx="901700" cy="43678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F078653-D261-4AD8-86CE-A4524596D172}"/>
            </a:ext>
          </a:extLst>
        </xdr:cNvPr>
        <xdr:cNvSpPr txBox="1"/>
      </xdr:nvSpPr>
      <xdr:spPr>
        <a:xfrm>
          <a:off x="8985250" y="3194050"/>
          <a:ext cx="9017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sz="1100"/>
            <a:t>incresing cementation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5EA2-AC32-4874-ADA9-1EBC55CAD429}">
  <dimension ref="C6:I20"/>
  <sheetViews>
    <sheetView tabSelected="1" topLeftCell="F1" zoomScale="91" zoomScaleNormal="120" workbookViewId="0">
      <selection activeCell="E9" sqref="E9"/>
    </sheetView>
  </sheetViews>
  <sheetFormatPr baseColWidth="10" defaultColWidth="8.83203125" defaultRowHeight="15" x14ac:dyDescent="0.2"/>
  <sheetData>
    <row r="6" spans="3:9" x14ac:dyDescent="0.2">
      <c r="C6" t="s">
        <v>0</v>
      </c>
      <c r="E6" t="s">
        <v>1</v>
      </c>
      <c r="I6" t="s">
        <v>3</v>
      </c>
    </row>
    <row r="7" spans="3:9" x14ac:dyDescent="0.2">
      <c r="E7" t="s">
        <v>2</v>
      </c>
      <c r="I7" t="s">
        <v>4</v>
      </c>
    </row>
    <row r="8" spans="3:9" x14ac:dyDescent="0.2">
      <c r="C8">
        <v>8</v>
      </c>
      <c r="D8">
        <f>0.36-C8/700</f>
        <v>0.34857142857142853</v>
      </c>
      <c r="E8">
        <f>0.73-0.27*LOG10(C8)</f>
        <v>0.48616570351217525</v>
      </c>
    </row>
    <row r="9" spans="3:9" x14ac:dyDescent="0.2">
      <c r="C9">
        <v>10</v>
      </c>
      <c r="D9">
        <f t="shared" ref="D9:D13" si="0">0.36-C9/700</f>
        <v>0.3457142857142857</v>
      </c>
      <c r="E9">
        <f t="shared" ref="E9:E14" si="1">0.73-0.27*LOG10(C9)</f>
        <v>0.45999999999999996</v>
      </c>
    </row>
    <row r="10" spans="3:9" x14ac:dyDescent="0.2">
      <c r="C10">
        <v>20</v>
      </c>
      <c r="D10">
        <f t="shared" si="0"/>
        <v>0.33142857142857141</v>
      </c>
      <c r="E10">
        <f t="shared" si="1"/>
        <v>0.37872190117072502</v>
      </c>
    </row>
    <row r="11" spans="3:9" x14ac:dyDescent="0.2">
      <c r="C11">
        <f>C8*10</f>
        <v>80</v>
      </c>
      <c r="D11">
        <f t="shared" si="0"/>
        <v>0.24571428571428572</v>
      </c>
      <c r="E11">
        <f t="shared" si="1"/>
        <v>0.21616570351217523</v>
      </c>
      <c r="I11">
        <f>0.94-0.31*LOG10(C11)</f>
        <v>0.35004210403249747</v>
      </c>
    </row>
    <row r="12" spans="3:9" x14ac:dyDescent="0.2">
      <c r="C12">
        <f t="shared" ref="C12:C13" si="2">C9*10</f>
        <v>100</v>
      </c>
      <c r="D12">
        <f t="shared" si="0"/>
        <v>0.21714285714285714</v>
      </c>
      <c r="E12">
        <f t="shared" si="1"/>
        <v>0.18999999999999995</v>
      </c>
      <c r="I12">
        <f>0.94-0.31*LOG10(C12)</f>
        <v>0.31999999999999995</v>
      </c>
    </row>
    <row r="13" spans="3:9" x14ac:dyDescent="0.2">
      <c r="C13">
        <f t="shared" si="2"/>
        <v>200</v>
      </c>
      <c r="D13">
        <f t="shared" si="0"/>
        <v>7.4285714285714288E-2</v>
      </c>
      <c r="E13">
        <f t="shared" si="1"/>
        <v>0.108721901170725</v>
      </c>
      <c r="I13">
        <f>0.94-0.31*LOG10(C13)</f>
        <v>0.22668070134416574</v>
      </c>
    </row>
    <row r="14" spans="3:9" x14ac:dyDescent="0.2">
      <c r="C14">
        <v>600</v>
      </c>
      <c r="E14">
        <f>0.73-0.27*LOG10(C14)</f>
        <v>-2.0100837603583832E-2</v>
      </c>
      <c r="I14">
        <f>0.94-0.31*LOG10(C14)</f>
        <v>7.8773112381070542E-2</v>
      </c>
    </row>
    <row r="19" spans="8:9" x14ac:dyDescent="0.2">
      <c r="H19">
        <v>55.17</v>
      </c>
      <c r="I19">
        <v>0.35</v>
      </c>
    </row>
    <row r="20" spans="8:9" x14ac:dyDescent="0.2">
      <c r="H20">
        <v>52.53</v>
      </c>
      <c r="I20">
        <v>0.36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014E-2D29-F24F-9F45-B49C96491E37}">
  <dimension ref="A1:B5"/>
  <sheetViews>
    <sheetView workbookViewId="0">
      <selection activeCell="B1" sqref="B1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80</v>
      </c>
      <c r="B2">
        <f>0.94-0.31*LOG10(A2)</f>
        <v>0.35004210403249747</v>
      </c>
    </row>
    <row r="3" spans="1:2" x14ac:dyDescent="0.2">
      <c r="A3">
        <v>100</v>
      </c>
      <c r="B3">
        <f>0.94-0.31*LOG10(A3)</f>
        <v>0.31999999999999995</v>
      </c>
    </row>
    <row r="4" spans="1:2" x14ac:dyDescent="0.2">
      <c r="A4">
        <v>200</v>
      </c>
      <c r="B4">
        <f>0.94-0.31*LOG10(A4)</f>
        <v>0.22668070134416574</v>
      </c>
    </row>
    <row r="5" spans="1:2" x14ac:dyDescent="0.2">
      <c r="A5">
        <v>600</v>
      </c>
      <c r="B5">
        <f>0.94-0.31*LOG10(A5)</f>
        <v>7.8773112381070542E-2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3823-4ACC-414E-9DDE-6DBD161C2452}">
  <dimension ref="A1:B7"/>
  <sheetViews>
    <sheetView workbookViewId="0">
      <selection activeCell="D22" sqref="D22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8</v>
      </c>
      <c r="B2">
        <f>0.36-A2/700</f>
        <v>0.34857142857142853</v>
      </c>
    </row>
    <row r="3" spans="1:2" x14ac:dyDescent="0.2">
      <c r="A3">
        <v>10</v>
      </c>
      <c r="B3">
        <f t="shared" ref="B3:B7" si="0">0.36-A3/700</f>
        <v>0.3457142857142857</v>
      </c>
    </row>
    <row r="4" spans="1:2" x14ac:dyDescent="0.2">
      <c r="A4">
        <v>20</v>
      </c>
      <c r="B4">
        <f t="shared" si="0"/>
        <v>0.33142857142857141</v>
      </c>
    </row>
    <row r="5" spans="1:2" x14ac:dyDescent="0.2">
      <c r="A5">
        <f>A2*10</f>
        <v>80</v>
      </c>
      <c r="B5">
        <f t="shared" si="0"/>
        <v>0.24571428571428572</v>
      </c>
    </row>
    <row r="6" spans="1:2" x14ac:dyDescent="0.2">
      <c r="A6">
        <f t="shared" ref="A6:A7" si="1">A3*10</f>
        <v>100</v>
      </c>
      <c r="B6">
        <f t="shared" si="0"/>
        <v>0.21714285714285714</v>
      </c>
    </row>
    <row r="7" spans="1:2" x14ac:dyDescent="0.2">
      <c r="A7">
        <f t="shared" si="1"/>
        <v>200</v>
      </c>
      <c r="B7">
        <f t="shared" si="0"/>
        <v>7.4285714285714288E-2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15CF-A1D4-2B40-9B50-FBF8C18F994B}">
  <dimension ref="A1:B8"/>
  <sheetViews>
    <sheetView workbookViewId="0">
      <selection activeCell="B2" sqref="B2:B7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8</v>
      </c>
      <c r="B2">
        <f>0.73-0.27*LOG10(A2)</f>
        <v>0.48616570351217525</v>
      </c>
    </row>
    <row r="3" spans="1:2" x14ac:dyDescent="0.2">
      <c r="A3">
        <v>10</v>
      </c>
      <c r="B3">
        <f t="shared" ref="B3:B8" si="0">0.73-0.27*LOG10(A3)</f>
        <v>0.45999999999999996</v>
      </c>
    </row>
    <row r="4" spans="1:2" x14ac:dyDescent="0.2">
      <c r="A4">
        <v>20</v>
      </c>
      <c r="B4">
        <f t="shared" si="0"/>
        <v>0.37872190117072502</v>
      </c>
    </row>
    <row r="5" spans="1:2" x14ac:dyDescent="0.2">
      <c r="A5">
        <f>A2*10</f>
        <v>80</v>
      </c>
      <c r="B5">
        <f t="shared" si="0"/>
        <v>0.21616570351217523</v>
      </c>
    </row>
    <row r="6" spans="1:2" x14ac:dyDescent="0.2">
      <c r="A6">
        <f t="shared" ref="A6:A7" si="1">A3*10</f>
        <v>100</v>
      </c>
      <c r="B6">
        <f t="shared" si="0"/>
        <v>0.18999999999999995</v>
      </c>
    </row>
    <row r="7" spans="1:2" x14ac:dyDescent="0.2">
      <c r="A7">
        <f t="shared" si="1"/>
        <v>200</v>
      </c>
      <c r="B7">
        <f t="shared" si="0"/>
        <v>0.108721901170725</v>
      </c>
    </row>
    <row r="8" spans="1:2" x14ac:dyDescent="0.2">
      <c r="A8">
        <v>600</v>
      </c>
      <c r="B8">
        <f t="shared" si="0"/>
        <v>-2.0100837603583832E-2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joint rocks</vt:lpstr>
      <vt:lpstr>soils(calos)</vt:lpstr>
      <vt:lpstr>soils(cha)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Fratta</dc:creator>
  <cp:lastModifiedBy>Xingye Sun</cp:lastModifiedBy>
  <dcterms:created xsi:type="dcterms:W3CDTF">2025-09-02T18:11:38Z</dcterms:created>
  <dcterms:modified xsi:type="dcterms:W3CDTF">2025-09-03T07:16:58Z</dcterms:modified>
</cp:coreProperties>
</file>